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_90_Dias" sheetId="1" state="visible" r:id="rId1"/>
    <sheet xmlns:r="http://schemas.openxmlformats.org/officeDocument/2006/relationships" name="Escenarios_MRR_ARR" sheetId="2" state="visible" r:id="rId2"/>
    <sheet xmlns:r="http://schemas.openxmlformats.org/officeDocument/2006/relationships" name="Matriz_KPIs" sheetId="3" state="visible" r:id="rId3"/>
    <sheet xmlns:r="http://schemas.openxmlformats.org/officeDocument/2006/relationships" name="Roadmap_GTM" sheetId="4" state="visible" r:id="rId4"/>
    <sheet xmlns:r="http://schemas.openxmlformats.org/officeDocument/2006/relationships" name="KPIs_Corregidos" sheetId="5" state="visible" r:id="rId5"/>
    <sheet xmlns:r="http://schemas.openxmlformats.org/officeDocument/2006/relationships" name="LinkedIn_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0"/>
    <numFmt numFmtId="165" formatCode="0.0%"/>
    <numFmt numFmtId="166" formatCode="&quot;€&quot;#,#0.00"/>
  </numFmts>
  <fonts count="7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334155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4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4" fillId="4" borderId="2" pivotButton="0" quotePrefix="0" xfId="0"/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1" fillId="0" borderId="0" pivotButton="0" quotePrefix="0" xfId="0"/>
    <xf numFmtId="3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3" fillId="5" borderId="1" pivotButton="0" quotePrefix="0" xfId="0"/>
    <xf numFmtId="0" fontId="4" fillId="0" borderId="1" applyAlignment="1" pivotButton="0" quotePrefix="0" xfId="0">
      <alignment horizontal="right" vertical="center"/>
    </xf>
    <xf numFmtId="0" fontId="6" fillId="6" borderId="0" pivotButton="0" quotePrefix="0" xfId="0"/>
    <xf numFmtId="0" fontId="0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del Presupuesto (Máx 1.500 €)</a:t>
            </a:r>
          </a:p>
        </rich>
      </tx>
    </title>
    <plotArea>
      <doughnutChart>
        <varyColors val="1"/>
        <ser>
          <idx val="0"/>
          <order val="0"/>
          <tx>
            <strRef>
              <f>'Presupuesto_90_Dias'!C4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'Presupuesto_90_Dias'!$A$5:$A$9</f>
            </numRef>
          </cat>
          <val>
            <numRef>
              <f>'Presupuesto_90_Dias'!$C$5:$C$9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7" customWidth="1" min="4" max="4"/>
    <col width="80" customWidth="1" min="5" max="5"/>
  </cols>
  <sheetData>
    <row r="1">
      <c r="A1" s="1" t="inlineStr">
        <is>
          <t>PRESUPUESTO Y DISTRIBUCIÓN DE COSTES (MÁXIMO 1.500 € / 90 DÍAS)</t>
        </is>
      </c>
    </row>
    <row r="2">
      <c r="A2" s="2" t="inlineStr">
        <is>
          <t>Estrategia GTM Asistente IA para Autónomos | Enfoque de Conversión Directa sin Anuncios de Pago</t>
        </is>
      </c>
    </row>
    <row r="4">
      <c r="A4" s="3" t="inlineStr">
        <is>
          <t>Categoría / Activo</t>
        </is>
      </c>
      <c r="B4" s="4" t="inlineStr">
        <is>
          <t>Coste Mínimo (€)</t>
        </is>
      </c>
      <c r="C4" s="4" t="inlineStr">
        <is>
          <t>Coste Máximo (€)</t>
        </is>
      </c>
      <c r="D4" s="4" t="inlineStr">
        <is>
          <t>% Presupuesto</t>
        </is>
      </c>
      <c r="E4" s="3" t="inlineStr">
        <is>
          <t>Criterio de Conversión / Retorno Directo</t>
        </is>
      </c>
    </row>
    <row r="5">
      <c r="A5" s="5" t="inlineStr">
        <is>
          <t>1. Web y Landing Page</t>
        </is>
      </c>
      <c r="B5" s="6" t="n">
        <v>100</v>
      </c>
      <c r="C5" s="6" t="n">
        <v>150</v>
      </c>
      <c r="D5" s="7">
        <f>C5/$C$10</f>
        <v/>
      </c>
      <c r="E5" s="8" t="inlineStr">
        <is>
          <t>Captación de Leads y conversión activa a 'Prueba Gratis'</t>
        </is>
      </c>
    </row>
    <row r="6">
      <c r="A6" s="9" t="inlineStr">
        <is>
          <t>2. Imanes SEO (Calculadoras Gratuitas)</t>
        </is>
      </c>
      <c r="B6" s="10" t="n">
        <v>350</v>
      </c>
      <c r="C6" s="10" t="n">
        <v>400</v>
      </c>
      <c r="D6" s="11">
        <f>C6/$C$10</f>
        <v/>
      </c>
      <c r="E6" s="12" t="inlineStr">
        <is>
          <t>Ingesta de tráfico cualificado con alta intencionalidad comercial</t>
        </is>
      </c>
    </row>
    <row r="7">
      <c r="A7" s="5" t="inlineStr">
        <is>
          <t>3. Generación de Contenido SEO (100 Arts)</t>
        </is>
      </c>
      <c r="B7" s="6" t="n">
        <v>400</v>
      </c>
      <c r="C7" s="6" t="n">
        <v>450</v>
      </c>
      <c r="D7" s="7">
        <f>C7/$C$10</f>
        <v/>
      </c>
      <c r="E7" s="8" t="inlineStr">
        <is>
          <t>Posicionamiento orgánico de palabras clave transaccionales (VERI*FACTU, 303)</t>
        </is>
      </c>
    </row>
    <row r="8">
      <c r="A8" s="9" t="inlineStr">
        <is>
          <t>4. Infraestructura de Afiliación / Referidos</t>
        </is>
      </c>
      <c r="B8" s="10" t="n">
        <v>200</v>
      </c>
      <c r="C8" s="10" t="n">
        <v>250</v>
      </c>
      <c r="D8" s="11">
        <f>C8/$C$10</f>
        <v/>
      </c>
      <c r="E8" s="12" t="inlineStr">
        <is>
          <t>CAC ligado exclusivamente a ventas logradas (comisión 20% a éxito)</t>
        </is>
      </c>
    </row>
    <row r="9">
      <c r="A9" s="5" t="inlineStr">
        <is>
          <t>5. Fondo de Reserva / Experimentos</t>
        </is>
      </c>
      <c r="B9" s="6" t="n">
        <v>250</v>
      </c>
      <c r="C9" s="6" t="n">
        <v>300</v>
      </c>
      <c r="D9" s="7">
        <f>C9/$C$10</f>
        <v/>
      </c>
      <c r="E9" s="8" t="inlineStr">
        <is>
          <t>Testing de campañas hipersegmentadas de captación Trial-to-Paid</t>
        </is>
      </c>
    </row>
    <row r="10">
      <c r="A10" s="13" t="inlineStr">
        <is>
          <t>TOTAL PRESUPUESTO</t>
        </is>
      </c>
      <c r="B10" s="14">
        <f>SUM(B5:B9)</f>
        <v/>
      </c>
      <c r="C10" s="14">
        <f>SUM(C5:C9)</f>
        <v/>
      </c>
      <c r="D10" s="15">
        <f>SUM(D5:D9)</f>
        <v/>
      </c>
      <c r="E10" s="13" t="inlineStr">
        <is>
          <t>Límite Estricto - Meta: 100 Clientes de Pago (~2.900 € MRR)</t>
        </is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46" customWidth="1" min="3" max="3"/>
    <col width="17" customWidth="1" min="4" max="4"/>
    <col width="15" customWidth="1" min="5" max="5"/>
    <col width="20" customWidth="1" min="6" max="6"/>
  </cols>
  <sheetData>
    <row r="1">
      <c r="A1" s="16" t="inlineStr">
        <is>
          <t>MODELADO FINANCIERO Y ESCENARIOS A 3 MESES</t>
        </is>
      </c>
    </row>
    <row r="3">
      <c r="A3" s="4" t="inlineStr">
        <is>
          <t>Escenario</t>
        </is>
      </c>
      <c r="B3" s="4" t="inlineStr">
        <is>
          <t>Clientes de Pago</t>
        </is>
      </c>
      <c r="C3" s="4" t="inlineStr">
        <is>
          <t>Precio Medio (ARPU)</t>
        </is>
      </c>
      <c r="D3" s="4" t="inlineStr">
        <is>
          <t>MRR (Mensual)</t>
        </is>
      </c>
      <c r="E3" s="4" t="inlineStr">
        <is>
          <t>ARR (Anual)</t>
        </is>
      </c>
      <c r="F3" s="4" t="inlineStr">
        <is>
          <t>CAC Efectivo (€)</t>
        </is>
      </c>
    </row>
    <row r="4">
      <c r="A4" s="5" t="inlineStr">
        <is>
          <t>Escenario Conservador</t>
        </is>
      </c>
      <c r="B4" s="17" t="n">
        <v>100</v>
      </c>
      <c r="C4" s="6" t="n">
        <v>29</v>
      </c>
      <c r="D4" s="6">
        <f>B4*C4</f>
        <v/>
      </c>
      <c r="E4" s="6">
        <f>D4*12</f>
        <v/>
      </c>
      <c r="F4" s="18">
        <f>1500/B4</f>
        <v/>
      </c>
    </row>
    <row r="5">
      <c r="A5" s="9" t="inlineStr">
        <is>
          <t>Escenario Razonable</t>
        </is>
      </c>
      <c r="B5" s="19" t="n">
        <v>300</v>
      </c>
      <c r="C5" s="10" t="n">
        <v>29</v>
      </c>
      <c r="D5" s="10">
        <f>B5*C5</f>
        <v/>
      </c>
      <c r="E5" s="10">
        <f>D5*12</f>
        <v/>
      </c>
      <c r="F5" s="20">
        <f>1500/B5</f>
        <v/>
      </c>
    </row>
    <row r="6">
      <c r="A6" s="5" t="inlineStr">
        <is>
          <t>Escenario Excelente</t>
        </is>
      </c>
      <c r="B6" s="17" t="n">
        <v>1000</v>
      </c>
      <c r="C6" s="6" t="n">
        <v>29</v>
      </c>
      <c r="D6" s="6">
        <f>B6*C6</f>
        <v/>
      </c>
      <c r="E6" s="6">
        <f>D6*12</f>
        <v/>
      </c>
      <c r="F6" s="18">
        <f>1500/B6</f>
        <v/>
      </c>
    </row>
    <row r="9">
      <c r="A9" s="16" t="inlineStr">
        <is>
          <t>UNIT ECONOMICS PROYECTADOS (ARPU 29 € / Churn 5%)</t>
        </is>
      </c>
    </row>
    <row r="11">
      <c r="A11" s="21" t="inlineStr">
        <is>
          <t>Métrica</t>
        </is>
      </c>
      <c r="B11" s="21" t="inlineStr">
        <is>
          <t>Valor Estabilidad</t>
        </is>
      </c>
      <c r="C11" s="21" t="inlineStr">
        <is>
          <t>Fórmula / Concepto</t>
        </is>
      </c>
    </row>
    <row r="12">
      <c r="A12" s="5" t="inlineStr">
        <is>
          <t>ARPU Mensual</t>
        </is>
      </c>
      <c r="B12" s="22" t="inlineStr">
        <is>
          <t>29,00 €</t>
        </is>
      </c>
      <c r="C12" s="8" t="inlineStr">
        <is>
          <t>Precio medio suscripción ponderado</t>
        </is>
      </c>
    </row>
    <row r="13">
      <c r="A13" s="5" t="inlineStr">
        <is>
          <t>Churn Mensual Objetivo</t>
        </is>
      </c>
      <c r="B13" s="22" t="inlineStr">
        <is>
          <t>5,0 %</t>
        </is>
      </c>
      <c r="C13" s="8" t="inlineStr">
        <is>
          <t>Tasa máxima admisible de cancelación</t>
        </is>
      </c>
    </row>
    <row r="14">
      <c r="A14" s="5" t="inlineStr">
        <is>
          <t>Vida Media Cliente (LTV Months)</t>
        </is>
      </c>
      <c r="B14" s="22" t="inlineStr">
        <is>
          <t>20 Meses</t>
        </is>
      </c>
      <c r="C14" s="8" t="inlineStr">
        <is>
          <t>1 / Churn (1 / 0.05)</t>
        </is>
      </c>
    </row>
    <row r="15">
      <c r="A15" s="5" t="inlineStr">
        <is>
          <t>LTV (Lifetime Value)</t>
        </is>
      </c>
      <c r="B15" s="22" t="inlineStr">
        <is>
          <t>580,00 €</t>
        </is>
      </c>
      <c r="C15" s="8" t="inlineStr">
        <is>
          <t>ARPU * Vida Media (29 € * 20)</t>
        </is>
      </c>
    </row>
    <row r="16">
      <c r="A16" s="5" t="inlineStr">
        <is>
          <t>CAC Objetivo (Esc. Conservador)</t>
        </is>
      </c>
      <c r="B16" s="22" t="inlineStr">
        <is>
          <t>15,00 €</t>
        </is>
      </c>
      <c r="C16" s="8" t="inlineStr">
        <is>
          <t>Presupuesto Total (1.500 €) / 100 Clientes</t>
        </is>
      </c>
    </row>
    <row r="17">
      <c r="A17" s="5" t="inlineStr">
        <is>
          <t>Ratio LTV / CAC</t>
        </is>
      </c>
      <c r="B17" s="22" t="inlineStr">
        <is>
          <t>38,7 x</t>
        </is>
      </c>
      <c r="C17" s="8" t="inlineStr">
        <is>
          <t>LTV (580 €) / CAC (15 €) -&gt; Excelente ROI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7" customWidth="1" min="3" max="3"/>
    <col width="14" customWidth="1" min="4" max="4"/>
    <col width="70" customWidth="1" min="5" max="5"/>
  </cols>
  <sheetData>
    <row r="1">
      <c r="A1" s="16" t="inlineStr">
        <is>
          <t>MATRIZ DE INDICADORES CLAVE DE RENDIMIENTO (KPIs)</t>
        </is>
      </c>
    </row>
    <row r="3">
      <c r="A3" s="4" t="inlineStr">
        <is>
          <t>Métrica / KPI</t>
        </is>
      </c>
      <c r="B3" s="4" t="inlineStr">
        <is>
          <t>Objetivo</t>
        </is>
      </c>
      <c r="C3" s="4" t="inlineStr">
        <is>
          <t>Umbral Alerta</t>
        </is>
      </c>
      <c r="D3" s="4" t="inlineStr">
        <is>
          <t>Frecuencia</t>
        </is>
      </c>
      <c r="E3" s="4" t="inlineStr">
        <is>
          <t>Acción Correctiva</t>
        </is>
      </c>
    </row>
    <row r="4">
      <c r="A4" s="5" t="inlineStr">
        <is>
          <t>CAC (Coste Adquisición Cliente)</t>
        </is>
      </c>
      <c r="B4" s="8" t="inlineStr">
        <is>
          <t>&lt; 15 €</t>
        </is>
      </c>
      <c r="C4" s="8" t="inlineStr">
        <is>
          <t>&gt; 25 €</t>
        </is>
      </c>
      <c r="D4" s="8" t="inlineStr">
        <is>
          <t>Semanal</t>
        </is>
      </c>
      <c r="E4" s="8" t="inlineStr">
        <is>
          <t>Reforzar canal de afiliados y bucle viral de referidos</t>
        </is>
      </c>
    </row>
    <row r="5">
      <c r="A5" s="9" t="inlineStr">
        <is>
          <t>Ratio Trial-to-Paid</t>
        </is>
      </c>
      <c r="B5" s="12" t="inlineStr">
        <is>
          <t>&gt; 8% - 12%</t>
        </is>
      </c>
      <c r="C5" s="12" t="inlineStr">
        <is>
          <t>&lt; 5%</t>
        </is>
      </c>
      <c r="D5" s="12" t="inlineStr">
        <is>
          <t>Semanal</t>
        </is>
      </c>
      <c r="E5" s="12" t="inlineStr">
        <is>
          <t>Revisar onboarding y respuestas automatizadas del asistente</t>
        </is>
      </c>
    </row>
    <row r="6">
      <c r="A6" s="5" t="inlineStr">
        <is>
          <t>Churn Mensual</t>
        </is>
      </c>
      <c r="B6" s="8" t="inlineStr">
        <is>
          <t>&lt; 5%</t>
        </is>
      </c>
      <c r="C6" s="8" t="inlineStr">
        <is>
          <t>&gt; 8%</t>
        </is>
      </c>
      <c r="D6" s="8" t="inlineStr">
        <is>
          <t>Mensual</t>
        </is>
      </c>
      <c r="E6" s="8" t="inlineStr">
        <is>
          <t>Entrevistas de cancelación y acelerar mejoras de UX</t>
        </is>
      </c>
    </row>
    <row r="7">
      <c r="A7" s="9" t="inlineStr">
        <is>
          <t>LTV (Lifetime Value)</t>
        </is>
      </c>
      <c r="B7" s="12" t="inlineStr">
        <is>
          <t>&gt; 500 €</t>
        </is>
      </c>
      <c r="C7" s="12" t="inlineStr">
        <is>
          <t>&lt; 300 €</t>
        </is>
      </c>
      <c r="D7" s="12" t="inlineStr">
        <is>
          <t>Mensual</t>
        </is>
      </c>
      <c r="E7" s="12" t="inlineStr">
        <is>
          <t>Lanzar módulos avanzados / ventas cruzadas de servicios</t>
        </is>
      </c>
    </row>
    <row r="8">
      <c r="A8" s="5" t="inlineStr">
        <is>
          <t>Factor K (Viralidad Referidos)</t>
        </is>
      </c>
      <c r="B8" s="8" t="inlineStr">
        <is>
          <t>&gt; 0.35</t>
        </is>
      </c>
      <c r="C8" s="8" t="inlineStr">
        <is>
          <t>&lt; 0.10</t>
        </is>
      </c>
      <c r="D8" s="8" t="inlineStr">
        <is>
          <t>Quincenal</t>
        </is>
      </c>
      <c r="E8" s="8" t="inlineStr">
        <is>
          <t>Incentivar la promoción de '3 meses gratis por 3 negocios'</t>
        </is>
      </c>
    </row>
    <row r="9">
      <c r="A9" s="9" t="inlineStr">
        <is>
          <t>Tráfico Orgánico SEO</t>
        </is>
      </c>
      <c r="B9" s="12" t="inlineStr">
        <is>
          <t>15.000 / mes</t>
        </is>
      </c>
      <c r="C9" s="12" t="inlineStr">
        <is>
          <t>&lt; 5.000 / mes</t>
        </is>
      </c>
      <c r="D9" s="12" t="inlineStr">
        <is>
          <t>Mensual</t>
        </is>
      </c>
      <c r="E9" s="12" t="inlineStr">
        <is>
          <t>Aumentar interlazado interno e incorporar calculadoras adicionales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82" customWidth="1" min="3" max="3"/>
    <col width="38" customWidth="1" min="4" max="4"/>
  </cols>
  <sheetData>
    <row r="1">
      <c r="A1" s="16" t="inlineStr">
        <is>
          <t>ROADMAP OPERATIVO DE LANZAMIENTO (90 DÍAS)</t>
        </is>
      </c>
    </row>
    <row r="3">
      <c r="A3" s="4" t="inlineStr">
        <is>
          <t>Fase</t>
        </is>
      </c>
      <c r="B3" s="4" t="inlineStr">
        <is>
          <t>Hito Principal</t>
        </is>
      </c>
      <c r="C3" s="4" t="inlineStr">
        <is>
          <t>Acciones Clave Ejecutadas</t>
        </is>
      </c>
      <c r="D3" s="4" t="inlineStr">
        <is>
          <t>Métrica de Éxito</t>
        </is>
      </c>
    </row>
    <row r="4">
      <c r="A4" s="5" t="inlineStr">
        <is>
          <t>Mes -2</t>
        </is>
      </c>
      <c r="B4" s="5" t="inlineStr">
        <is>
          <t>Atracción &amp; SEO</t>
        </is>
      </c>
      <c r="C4" s="8" t="inlineStr">
        <is>
          <t>Publicación de 100 artículos SEO + Lanzamiento de Calculadoras (VERI*FACTU)</t>
        </is>
      </c>
      <c r="D4" s="8" t="inlineStr">
        <is>
          <t>1.000 Inscritos en Lista de Espera</t>
        </is>
      </c>
    </row>
    <row r="5">
      <c r="A5" s="9" t="inlineStr">
        <is>
          <t>Mes -1</t>
        </is>
      </c>
      <c r="B5" s="9" t="inlineStr">
        <is>
          <t>Beta Privada</t>
        </is>
      </c>
      <c r="C5" s="12" t="inlineStr">
        <is>
          <t>Reclutamiento de 50-100 usuarios beta + Acuerdos con 50 microinfluencers</t>
        </is>
      </c>
      <c r="D5" s="12" t="inlineStr">
        <is>
          <t>NPS &gt; 40 | 15 Testimonios Reales</t>
        </is>
      </c>
    </row>
    <row r="6">
      <c r="A6" s="5" t="inlineStr">
        <is>
          <t>Día 0</t>
        </is>
      </c>
      <c r="B6" s="5" t="inlineStr">
        <is>
          <t>Lanzamiento Oficial</t>
        </is>
      </c>
      <c r="C6" s="8" t="inlineStr">
        <is>
          <t>Publicación simultánea en LinkedIn, TikTok, Product Hunt, Reddit y Newsletters</t>
        </is>
      </c>
      <c r="D6" s="8" t="inlineStr">
        <is>
          <t>+500 Pruebas Gratuitas en 48h</t>
        </is>
      </c>
    </row>
    <row r="7">
      <c r="A7" s="9" t="inlineStr">
        <is>
          <t>Mes 1 - 3</t>
        </is>
      </c>
      <c r="B7" s="9" t="inlineStr">
        <is>
          <t>Conversión &amp; Escala</t>
        </is>
      </c>
      <c r="C7" s="12" t="inlineStr">
        <is>
          <t>Activación del programa de referidos viral y onboarding de gestorías partners</t>
        </is>
      </c>
      <c r="D7" s="12" t="inlineStr">
        <is>
          <t>100 - 300 Clientes de Pago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5" customWidth="1" min="3" max="3"/>
    <col width="90" customWidth="1" min="4" max="4"/>
  </cols>
  <sheetData>
    <row r="1">
      <c r="A1" s="23" t="inlineStr">
        <is>
          <t>KPI</t>
        </is>
      </c>
      <c r="B1" s="23" t="inlineStr">
        <is>
          <t>Nombre completo</t>
        </is>
      </c>
      <c r="C1" s="23" t="inlineStr">
        <is>
          <t>Objetivo inicial</t>
        </is>
      </c>
      <c r="D1" s="23" t="inlineStr">
        <is>
          <t>Interpretación / acción</t>
        </is>
      </c>
    </row>
    <row r="2">
      <c r="A2" s="24" t="inlineStr">
        <is>
          <t>CAC monetario</t>
        </is>
      </c>
      <c r="B2" s="24" t="inlineStr">
        <is>
          <t>Coste de Adquisición de Cliente</t>
        </is>
      </c>
      <c r="C2" s="24" t="inlineStr">
        <is>
          <t>&lt;25 €</t>
        </is>
      </c>
      <c r="D2" s="24" t="inlineStr">
        <is>
          <t>Dinero desembolsado para conseguir un cliente. Medir por canal.</t>
        </is>
      </c>
    </row>
    <row r="3">
      <c r="A3" s="24" t="inlineStr">
        <is>
          <t>CAC total</t>
        </is>
      </c>
      <c r="B3" s="24" t="inlineStr">
        <is>
          <t>Coste de Adquisición de Cliente imputado</t>
        </is>
      </c>
      <c r="C3" s="24" t="inlineStr">
        <is>
          <t>&lt;75 € inicialmente</t>
        </is>
      </c>
      <c r="D3" s="24" t="inlineStr">
        <is>
          <t>Incluye herramientas y coste imputado del trabajo; usarlo para decidir si el crecimiento es realmente escalable.</t>
        </is>
      </c>
    </row>
    <row r="4">
      <c r="A4" s="24" t="inlineStr">
        <is>
          <t>Tasa de activación</t>
        </is>
      </c>
      <c r="B4" s="24" t="inlineStr">
        <is>
          <t>Porcentaje de usuarios activados</t>
        </is>
      </c>
      <c r="C4" s="24" t="inlineStr">
        <is>
          <t>&gt;40 %</t>
        </is>
      </c>
      <c r="D4" s="24" t="inlineStr">
        <is>
          <t>Activación = primera acción de valor + consulta útil. Si baja, mejorar onboarding.</t>
        </is>
      </c>
    </row>
    <row r="5">
      <c r="A5" s="24" t="inlineStr">
        <is>
          <t>Trial → Paid</t>
        </is>
      </c>
      <c r="B5" s="24" t="inlineStr">
        <is>
          <t>Conversión de prueba a pago</t>
        </is>
      </c>
      <c r="C5" s="24" t="inlineStr">
        <is>
          <t>&gt;8-12 %</t>
        </is>
      </c>
      <c r="D5" s="24" t="inlineStr">
        <is>
          <t>Medir por cohorte y por canal.</t>
        </is>
      </c>
    </row>
    <row r="6">
      <c r="A6" s="24" t="inlineStr">
        <is>
          <t>Churn</t>
        </is>
      </c>
      <c r="B6" s="24" t="inlineStr">
        <is>
          <t>Tasa mensual de cancelación</t>
        </is>
      </c>
      <c r="C6" s="24" t="inlineStr">
        <is>
          <t>&lt;5 %</t>
        </is>
      </c>
      <c r="D6" s="24" t="inlineStr">
        <is>
          <t>Si sube, entrevistar bajas y analizar el valor recurrente.</t>
        </is>
      </c>
    </row>
    <row r="7">
      <c r="A7" s="24" t="inlineStr">
        <is>
          <t>LTV proyectado</t>
        </is>
      </c>
      <c r="B7" s="24" t="inlineStr">
        <is>
          <t>Valor de Vida del Cliente proyectado</t>
        </is>
      </c>
      <c r="C7" s="24" t="inlineStr">
        <is>
          <t>Revisar mensualmente</t>
        </is>
      </c>
      <c r="D7" s="24" t="inlineStr">
        <is>
          <t>No presentarlo como LTV real hasta disponer de suficiente histórico.</t>
        </is>
      </c>
    </row>
    <row r="8">
      <c r="A8" s="24" t="inlineStr">
        <is>
          <t>LTV/CAC</t>
        </is>
      </c>
      <c r="B8" s="24" t="inlineStr">
        <is>
          <t>Valor de Vida del Cliente / Coste de Adquisición</t>
        </is>
      </c>
      <c r="C8" s="24" t="inlineStr">
        <is>
          <t>&gt;3x</t>
        </is>
      </c>
      <c r="D8" s="24" t="inlineStr">
        <is>
          <t>Señal de que el canal puede escalar; calcular con datos observados cuando sea posible.</t>
        </is>
      </c>
    </row>
    <row r="9">
      <c r="A9" s="24" t="inlineStr">
        <is>
          <t>Time To Value</t>
        </is>
      </c>
      <c r="B9" s="24" t="inlineStr">
        <is>
          <t>Tiempo hasta que el usuario obtiene el primer valor</t>
        </is>
      </c>
      <c r="C9" s="24" t="inlineStr">
        <is>
          <t>&lt;5 min; ideal &lt;2 min</t>
        </is>
      </c>
      <c r="D9" s="24" t="inlineStr">
        <is>
          <t>Reducir fricción entre registro, documento y primera respuesta útil.</t>
        </is>
      </c>
    </row>
    <row r="10">
      <c r="A10" s="24" t="inlineStr">
        <is>
          <t>Ingresos por visitante orgánico</t>
        </is>
      </c>
      <c r="B10" s="24" t="inlineStr">
        <is>
          <t>Ingresos atribuidos al tráfico orgánico / visitantes orgánicos</t>
        </is>
      </c>
      <c r="C10" s="24" t="inlineStr">
        <is>
          <t>Creciente</t>
        </is>
      </c>
      <c r="D10" s="24" t="inlineStr">
        <is>
          <t>Complementa el KPI de tráfico y evita optimizar visitas sin negocio.</t>
        </is>
      </c>
    </row>
    <row r="11">
      <c r="A11" s="24" t="inlineStr">
        <is>
          <t>MRR</t>
        </is>
      </c>
      <c r="B11" s="24" t="inlineStr">
        <is>
          <t>Ingresos Recurrentes Mensuales</t>
        </is>
      </c>
      <c r="C11" s="24" t="inlineStr">
        <is>
          <t>1.000-3.000 € en fase inicial</t>
        </is>
      </c>
      <c r="D11" s="24" t="inlineStr">
        <is>
          <t>Mide ingresos recurrentes de suscripción.</t>
        </is>
      </c>
    </row>
    <row r="12">
      <c r="A12" s="24" t="inlineStr">
        <is>
          <t>ARR</t>
        </is>
      </c>
      <c r="B12" s="24" t="inlineStr">
        <is>
          <t>Ingresos Recurrentes Anuales</t>
        </is>
      </c>
      <c r="C12" s="24" t="inlineStr">
        <is>
          <t>MRR x 12</t>
        </is>
      </c>
      <c r="D12" s="24" t="inlineStr">
        <is>
          <t>Métrica de ritmo anual, no facturación garantizada.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75" customWidth="1" min="3" max="3"/>
  </cols>
  <sheetData>
    <row r="1">
      <c r="A1" s="25" t="inlineStr">
        <is>
          <t>KPI LinkedIn</t>
        </is>
      </c>
      <c r="B1" s="25" t="inlineStr">
        <is>
          <t>Objetivo 90 días</t>
        </is>
      </c>
      <c r="C1" s="25" t="inlineStr">
        <is>
          <t>Qué mide</t>
        </is>
      </c>
    </row>
    <row r="2">
      <c r="A2" s="24" t="inlineStr">
        <is>
          <t>Publicaciones</t>
        </is>
      </c>
      <c r="B2" s="24" t="inlineStr">
        <is>
          <t>12-16/mes</t>
        </is>
      </c>
      <c r="C2" s="24" t="inlineStr">
        <is>
          <t>Consistencia de marca.</t>
        </is>
      </c>
    </row>
    <row r="3">
      <c r="A3" s="24" t="inlineStr">
        <is>
          <t>Demostraciones</t>
        </is>
      </c>
      <c r="B3" s="24" t="inlineStr">
        <is>
          <t>4/mes</t>
        </is>
      </c>
      <c r="C3" s="24" t="inlineStr">
        <is>
          <t>Producto mostrado en uso real.</t>
        </is>
      </c>
    </row>
    <row r="4">
      <c r="A4" s="24" t="inlineStr">
        <is>
          <t>Visitas web cualificadas</t>
        </is>
      </c>
      <c r="B4" s="24" t="inlineStr">
        <is>
          <t>500-1.000 acumuladas</t>
        </is>
      </c>
      <c r="C4" s="24" t="inlineStr">
        <is>
          <t>Tráfico con intención.</t>
        </is>
      </c>
    </row>
    <row r="5">
      <c r="A5" s="24" t="inlineStr">
        <is>
          <t>Registros atribuidos</t>
        </is>
      </c>
      <c r="B5" s="24" t="inlineStr">
        <is>
          <t>50-100</t>
        </is>
      </c>
      <c r="C5" s="24" t="inlineStr">
        <is>
          <t>Capacidad de generación de leads.</t>
        </is>
      </c>
    </row>
    <row r="6">
      <c r="A6" s="24" t="inlineStr">
        <is>
          <t>Activación atribuida</t>
        </is>
      </c>
      <c r="B6" s="24" t="inlineStr">
        <is>
          <t>&gt;40 %</t>
        </is>
      </c>
      <c r="C6" s="24" t="inlineStr">
        <is>
          <t>Usuarios que alcanzan el primer valor.</t>
        </is>
      </c>
    </row>
    <row r="7">
      <c r="A7" s="24" t="inlineStr">
        <is>
          <t>Clientes de pago atribuidos</t>
        </is>
      </c>
      <c r="B7" s="24" t="inlineStr">
        <is>
          <t>10-20</t>
        </is>
      </c>
      <c r="C7" s="24" t="inlineStr">
        <is>
          <t>Validación comercial inicial.</t>
        </is>
      </c>
    </row>
    <row r="8">
      <c r="A8" s="24" t="inlineStr">
        <is>
          <t>Newsletter</t>
        </is>
      </c>
      <c r="B8" s="24" t="inlineStr">
        <is>
          <t>1/semana</t>
        </is>
      </c>
      <c r="C8" s="24" t="inlineStr">
        <is>
          <t>Construcción de audiencia propia.</t>
        </is>
      </c>
    </row>
    <row r="9">
      <c r="A9" s="24" t="inlineStr">
        <is>
          <t>Conversión a cliente</t>
        </is>
      </c>
      <c r="B9" s="24" t="inlineStr">
        <is>
          <t>Medir por cohorte</t>
        </is>
      </c>
      <c r="C9" s="24" t="inlineStr">
        <is>
          <t>Publicación → cliente; no impresiones.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2026-08-08T13:04:11Z</dcterms:created>
  <dcterms:modified xmlns:dcterms="http://purl.org/dc/terms/" xmlns:xsi="http://www.w3.org/2001/XMLSchema-instance" xsi:type="dcterms:W3CDTF">2026-08-09T12:21:24Z</dcterms:modified>
</cp:coreProperties>
</file>